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84" windowWidth="21828" windowHeight="9012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25" i="1" l="1"/>
  <c r="C27" i="1"/>
  <c r="C26" i="1"/>
  <c r="D27" i="1"/>
  <c r="D26" i="1"/>
  <c r="C25" i="1"/>
</calcChain>
</file>

<file path=xl/sharedStrings.xml><?xml version="1.0" encoding="utf-8"?>
<sst xmlns="http://schemas.openxmlformats.org/spreadsheetml/2006/main" count="53" uniqueCount="27">
  <si>
    <t>articulo</t>
  </si>
  <si>
    <t xml:space="preserve">descripcion </t>
  </si>
  <si>
    <t>base</t>
  </si>
  <si>
    <t>A01</t>
  </si>
  <si>
    <t>A02</t>
  </si>
  <si>
    <t>A03</t>
  </si>
  <si>
    <t>articulo A01</t>
  </si>
  <si>
    <t>articulo A02</t>
  </si>
  <si>
    <t>articulo A03</t>
  </si>
  <si>
    <t>A</t>
  </si>
  <si>
    <t>pq_pedidosweb_articulos</t>
  </si>
  <si>
    <t>pq_pedidosweb_stock</t>
  </si>
  <si>
    <t>stock</t>
  </si>
  <si>
    <t>comprometido</t>
  </si>
  <si>
    <t>pq_pedidosweb_pedidosdetalle (de todos los pedidos con estado 1</t>
  </si>
  <si>
    <t>pedido</t>
  </si>
  <si>
    <t>cantidad</t>
  </si>
  <si>
    <t>X1</t>
  </si>
  <si>
    <t>X2</t>
  </si>
  <si>
    <t>RESULTADO</t>
  </si>
  <si>
    <t>descripcion</t>
  </si>
  <si>
    <t>disponible</t>
  </si>
  <si>
    <t>disponible_base</t>
  </si>
  <si>
    <t>formula del disponible : =+B9-C9-C15-C18</t>
  </si>
  <si>
    <t>formula del disponible : =+B11-C11-C17-C20</t>
  </si>
  <si>
    <t>formula del disponible : =+B10-C10-C16-C19</t>
  </si>
  <si>
    <t>formula del disponible base : =+(B9-C9-C15-C18)+(B10-C10-C16-C19)+(B11-C11-C17-C20)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</si>
</sst>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H10" sqref="H10"/>
    </sheetView>
  </sheetViews>
  <sheetFormatPr baseColWidth="10" defaultRowHeight="14.4" x14ac:dyDescent="0.3"/>
  <cols>
    <col min="3" max="3" width="13.109375" bestFit="1" customWidth="1"/>
    <col min="4" max="4" width="14" bestFit="1" customWidth="1"/>
    <col min="6" max="6" width="37.44140625" bestFit="1" customWidth="1"/>
    <col min="8" max="8" width="74.6640625" bestFit="1" customWidth="1"/>
  </cols>
  <sheetData>
    <row r="1" spans="1:3" x14ac:dyDescent="0.3">
      <c r="A1" s="1" t="s">
        <v>10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6</v>
      </c>
      <c r="C3" t="s">
        <v>9</v>
      </c>
    </row>
    <row r="4" spans="1:3" x14ac:dyDescent="0.3">
      <c r="A4" t="s">
        <v>4</v>
      </c>
      <c r="B4" t="s">
        <v>7</v>
      </c>
      <c r="C4" t="s">
        <v>9</v>
      </c>
    </row>
    <row r="5" spans="1:3" x14ac:dyDescent="0.3">
      <c r="A5" t="s">
        <v>5</v>
      </c>
      <c r="B5" t="s">
        <v>8</v>
      </c>
      <c r="C5" t="s">
        <v>9</v>
      </c>
    </row>
    <row r="7" spans="1:3" x14ac:dyDescent="0.3">
      <c r="A7" s="1" t="s">
        <v>11</v>
      </c>
    </row>
    <row r="8" spans="1:3" x14ac:dyDescent="0.3">
      <c r="A8" t="s">
        <v>0</v>
      </c>
      <c r="B8" t="s">
        <v>12</v>
      </c>
      <c r="C8" t="s">
        <v>13</v>
      </c>
    </row>
    <row r="9" spans="1:3" x14ac:dyDescent="0.3">
      <c r="A9" t="s">
        <v>3</v>
      </c>
      <c r="B9">
        <v>100</v>
      </c>
      <c r="C9">
        <v>10</v>
      </c>
    </row>
    <row r="10" spans="1:3" x14ac:dyDescent="0.3">
      <c r="A10" t="s">
        <v>4</v>
      </c>
      <c r="B10">
        <v>200</v>
      </c>
      <c r="C10">
        <v>20</v>
      </c>
    </row>
    <row r="11" spans="1:3" x14ac:dyDescent="0.3">
      <c r="A11" t="s">
        <v>5</v>
      </c>
      <c r="B11">
        <v>300</v>
      </c>
      <c r="C11">
        <v>30</v>
      </c>
    </row>
    <row r="13" spans="1:3" x14ac:dyDescent="0.3">
      <c r="A13" s="1" t="s">
        <v>14</v>
      </c>
    </row>
    <row r="14" spans="1:3" x14ac:dyDescent="0.3">
      <c r="A14" t="s">
        <v>15</v>
      </c>
      <c r="B14" t="s">
        <v>0</v>
      </c>
      <c r="C14" t="s">
        <v>16</v>
      </c>
    </row>
    <row r="15" spans="1:3" x14ac:dyDescent="0.3">
      <c r="A15" t="s">
        <v>17</v>
      </c>
      <c r="B15" t="s">
        <v>3</v>
      </c>
      <c r="C15">
        <v>10</v>
      </c>
    </row>
    <row r="16" spans="1:3" x14ac:dyDescent="0.3">
      <c r="A16" t="s">
        <v>17</v>
      </c>
      <c r="B16" t="s">
        <v>4</v>
      </c>
      <c r="C16">
        <v>20</v>
      </c>
    </row>
    <row r="17" spans="1:8" x14ac:dyDescent="0.3">
      <c r="A17" t="s">
        <v>17</v>
      </c>
      <c r="B17" t="s">
        <v>5</v>
      </c>
      <c r="C17">
        <v>30</v>
      </c>
    </row>
    <row r="18" spans="1:8" x14ac:dyDescent="0.3">
      <c r="A18" t="s">
        <v>18</v>
      </c>
      <c r="B18" t="s">
        <v>3</v>
      </c>
      <c r="C18">
        <v>5</v>
      </c>
    </row>
    <row r="19" spans="1:8" x14ac:dyDescent="0.3">
      <c r="A19" t="s">
        <v>18</v>
      </c>
      <c r="B19" t="s">
        <v>4</v>
      </c>
      <c r="C19">
        <v>10</v>
      </c>
    </row>
    <row r="20" spans="1:8" x14ac:dyDescent="0.3">
      <c r="A20" t="s">
        <v>18</v>
      </c>
      <c r="B20" t="s">
        <v>5</v>
      </c>
      <c r="C20">
        <v>15</v>
      </c>
    </row>
    <row r="23" spans="1:8" x14ac:dyDescent="0.3">
      <c r="A23" s="1" t="s">
        <v>19</v>
      </c>
    </row>
    <row r="24" spans="1:8" x14ac:dyDescent="0.3">
      <c r="A24" t="s">
        <v>0</v>
      </c>
      <c r="B24" t="s">
        <v>20</v>
      </c>
      <c r="C24" t="s">
        <v>21</v>
      </c>
      <c r="D24" t="s">
        <v>22</v>
      </c>
    </row>
    <row r="25" spans="1:8" x14ac:dyDescent="0.3">
      <c r="A25" t="s">
        <v>3</v>
      </c>
      <c r="B25" t="s">
        <v>6</v>
      </c>
      <c r="C25">
        <f>+B9-C9-C15-C18</f>
        <v>75</v>
      </c>
      <c r="D25">
        <f>+(B9-C9-C15-C18)+(B10-C10-C16-C19)+(B11-C11-C17-C20)</f>
        <v>450</v>
      </c>
      <c r="F25" t="s">
        <v>23</v>
      </c>
      <c r="H25" t="s">
        <v>26</v>
      </c>
    </row>
    <row r="26" spans="1:8" x14ac:dyDescent="0.3">
      <c r="A26" t="s">
        <v>4</v>
      </c>
      <c r="B26" t="s">
        <v>7</v>
      </c>
      <c r="C26">
        <f>+B10-C10-C16-C19</f>
        <v>150</v>
      </c>
      <c r="D26">
        <f t="shared" ref="D26:D27" si="0">+(B10-C10-C16-C19)+(B11-C11-C17-C20)+(B12-C12-C18-C21)</f>
        <v>370</v>
      </c>
      <c r="F26" t="s">
        <v>25</v>
      </c>
      <c r="H26" t="s">
        <v>26</v>
      </c>
    </row>
    <row r="27" spans="1:8" x14ac:dyDescent="0.3">
      <c r="A27" t="s">
        <v>5</v>
      </c>
      <c r="B27" t="s">
        <v>8</v>
      </c>
      <c r="C27">
        <f>+B11-C11-C17-C20</f>
        <v>225</v>
      </c>
      <c r="D27">
        <f t="shared" si="0"/>
        <v>210</v>
      </c>
      <c r="F27" t="s">
        <v>24</v>
      </c>
      <c r="H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Quarracino</dc:creator>
  <cp:lastModifiedBy>Pablo Quarracino</cp:lastModifiedBy>
  <dcterms:created xsi:type="dcterms:W3CDTF">2026-06-18T17:25:04Z</dcterms:created>
  <dcterms:modified xsi:type="dcterms:W3CDTF">2026-06-18T18:51:18Z</dcterms:modified>
</cp:coreProperties>
</file>